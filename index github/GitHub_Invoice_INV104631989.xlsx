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di/Documents/Trabajo/telework/"/>
    </mc:Choice>
  </mc:AlternateContent>
  <xr:revisionPtr revIDLastSave="0" documentId="13_ncr:1_{C2FAE645-9339-9E4A-876D-1EF89C11D557}" xr6:coauthVersionLast="47" xr6:coauthVersionMax="47" xr10:uidLastSave="{00000000-0000-0000-0000-000000000000}"/>
  <bookViews>
    <workbookView xWindow="0" yWindow="620" windowWidth="28800" windowHeight="15880" tabRatio="500" xr2:uid="{00000000-000D-0000-FFFF-FFFF00000000}"/>
  </bookViews>
  <sheets>
    <sheet name="Invoi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1" l="1"/>
  <c r="G13" i="1"/>
  <c r="G14" i="1"/>
  <c r="G31" i="1" s="1"/>
  <c r="H31" i="1"/>
  <c r="H32" i="1"/>
  <c r="G22" i="1"/>
  <c r="G26" i="1" s="1"/>
  <c r="G28" i="1" s="1"/>
</calcChain>
</file>

<file path=xl/sharedStrings.xml><?xml version="1.0" encoding="utf-8"?>
<sst xmlns="http://schemas.openxmlformats.org/spreadsheetml/2006/main" count="29" uniqueCount="29">
  <si>
    <t>INVOICE</t>
  </si>
  <si>
    <t>GitHub, Inc.</t>
  </si>
  <si>
    <t>Support Contact</t>
  </si>
  <si>
    <t>88 Colin P. Kelly Jr. St.</t>
  </si>
  <si>
    <t>San Francisco, CA 94107</t>
  </si>
  <si>
    <t>BILL TO</t>
  </si>
  <si>
    <t>Invoice #</t>
  </si>
  <si>
    <t>Invoice Date</t>
  </si>
  <si>
    <t>Terms</t>
  </si>
  <si>
    <t>Due Upon Receipt</t>
  </si>
  <si>
    <t>Currency</t>
  </si>
  <si>
    <t>USD</t>
  </si>
  <si>
    <t>QUANTITY</t>
  </si>
  <si>
    <t>DESCRIPTION</t>
  </si>
  <si>
    <t>RATE</t>
  </si>
  <si>
    <t>AMOUNT</t>
  </si>
  <si>
    <t>SUBTOTAL:</t>
  </si>
  <si>
    <t>If applicable, customer should account for the</t>
  </si>
  <si>
    <t>TAX:</t>
  </si>
  <si>
    <t>respective VAT reverse charge.</t>
  </si>
  <si>
    <t>INVOICE TOTAL:</t>
  </si>
  <si>
    <t>APPLIED TRANSACTIONS:</t>
  </si>
  <si>
    <t>BALANCE DUE:</t>
  </si>
  <si>
    <t>Notes</t>
  </si>
  <si>
    <t>*VAT is included in the sales price when and where applicable.</t>
  </si>
  <si>
    <t>Page 1 of 1</t>
  </si>
  <si>
    <t>Milton Coral</t>
  </si>
  <si>
    <t>Quito , Ecuador</t>
  </si>
  <si>
    <t>GitHub Team -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</si>
</sst>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.00;&quot;-$&quot;#,##0.00"/>
  </numFmts>
  <fonts count="11" x14ac:knownFonts="1">
    <font>
      <sz val="11"/>
      <color theme="1"/>
      <name val="Calibri"/>
      <family val="2"/>
      <charset val="1"/>
    </font>
    <font>
      <b/>
      <sz val="20"/>
      <color rgb="FF000000"/>
      <name val="Arial"/>
      <charset val="1"/>
    </font>
    <font>
      <b/>
      <sz val="18"/>
      <name val="Arial"/>
      <charset val="1"/>
    </font>
    <font>
      <b/>
      <sz val="10"/>
      <name val="Arial"/>
      <charset val="1"/>
    </font>
    <font>
      <u/>
      <sz val="10"/>
      <color rgb="FF0000EE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164" fontId="3" fillId="0" borderId="1" xfId="0" applyNumberFormat="1" applyFont="1" applyBorder="1"/>
    <xf numFmtId="165" fontId="5" fillId="0" borderId="0" xfId="0" applyNumberFormat="1" applyFont="1"/>
    <xf numFmtId="0" fontId="7" fillId="0" borderId="2" xfId="0" applyFont="1" applyBorder="1"/>
    <xf numFmtId="164" fontId="7" fillId="0" borderId="2" xfId="0" applyNumberFormat="1" applyFont="1" applyBorder="1"/>
    <xf numFmtId="0" fontId="6" fillId="0" borderId="0" xfId="0" applyFont="1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vertical="top"/>
    </xf>
    <xf numFmtId="0" fontId="10" fillId="0" borderId="0" xfId="0" applyFont="1"/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0" borderId="0" xfId="0"/>
    <xf numFmtId="0" fontId="3" fillId="0" borderId="1" xfId="0" applyFont="1" applyBorder="1"/>
    <xf numFmtId="0" fontId="9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63500</xdr:rowOff>
    </xdr:from>
    <xdr:to>
      <xdr:col>6</xdr:col>
      <xdr:colOff>952500</xdr:colOff>
      <xdr:row>4</xdr:row>
      <xdr:rowOff>114935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4B70BBF-00CB-F278-FCE4-8CA6888836D7}"/>
            </a:ext>
          </a:extLst>
        </xdr:cNvPr>
        <xdr:cNvGrpSpPr/>
      </xdr:nvGrpSpPr>
      <xdr:grpSpPr>
        <a:xfrm>
          <a:off x="304800" y="228600"/>
          <a:ext cx="6819900" cy="559435"/>
          <a:chOff x="0" y="0"/>
          <a:chExt cx="6819900" cy="55971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77583F8-38B5-4F89-BE5E-BED02DB5E4B1}"/>
              </a:ext>
            </a:extLst>
          </xdr:cNvPr>
          <xdr:cNvSpPr/>
        </xdr:nvSpPr>
        <xdr:spPr>
          <a:xfrm>
            <a:off x="0" y="139145"/>
            <a:ext cx="1066768" cy="30959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  <a:buNone/>
            </a:pPr>
            <a:r>
              <a:rPr lang="en-EC" sz="1950" b="1" kern="100" spc="-35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GitHub</a:t>
            </a:r>
            <a:endParaRPr lang="en-EC" sz="11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" name="Shape 997">
            <a:extLst>
              <a:ext uri="{FF2B5EF4-FFF2-40B4-BE49-F238E27FC236}">
                <a16:creationId xmlns:a16="http://schemas.microsoft.com/office/drawing/2014/main" id="{8764B288-5745-0954-24AA-14D61BA6C92E}"/>
              </a:ext>
            </a:extLst>
          </xdr:cNvPr>
          <xdr:cNvSpPr/>
        </xdr:nvSpPr>
        <xdr:spPr>
          <a:xfrm>
            <a:off x="1333500" y="171450"/>
            <a:ext cx="4772025" cy="152400"/>
          </a:xfrm>
          <a:custGeom>
            <a:avLst/>
            <a:gdLst/>
            <a:ahLst/>
            <a:cxnLst/>
            <a:rect l="0" t="0" r="0" b="0"/>
            <a:pathLst>
              <a:path w="4772025" h="152400">
                <a:moveTo>
                  <a:pt x="0" y="0"/>
                </a:moveTo>
                <a:lnTo>
                  <a:pt x="4772025" y="0"/>
                </a:lnTo>
                <a:lnTo>
                  <a:pt x="4772025" y="152400"/>
                </a:lnTo>
                <a:lnTo>
                  <a:pt x="0" y="1524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5" name="Shape 60">
            <a:extLst>
              <a:ext uri="{FF2B5EF4-FFF2-40B4-BE49-F238E27FC236}">
                <a16:creationId xmlns:a16="http://schemas.microsoft.com/office/drawing/2014/main" id="{43BAA8FC-0829-2CEC-244F-F2B618ECB010}"/>
              </a:ext>
            </a:extLst>
          </xdr:cNvPr>
          <xdr:cNvSpPr/>
        </xdr:nvSpPr>
        <xdr:spPr>
          <a:xfrm>
            <a:off x="6248336" y="0"/>
            <a:ext cx="571564" cy="559713"/>
          </a:xfrm>
          <a:custGeom>
            <a:avLst/>
            <a:gdLst/>
            <a:ahLst/>
            <a:cxnLst/>
            <a:rect l="0" t="0" r="0" b="0"/>
            <a:pathLst>
              <a:path w="571564" h="559713">
                <a:moveTo>
                  <a:pt x="285814" y="0"/>
                </a:moveTo>
                <a:cubicBezTo>
                  <a:pt x="443692" y="0"/>
                  <a:pt x="571564" y="127873"/>
                  <a:pt x="571564" y="285750"/>
                </a:cubicBezTo>
                <a:cubicBezTo>
                  <a:pt x="571533" y="408515"/>
                  <a:pt x="493213" y="517588"/>
                  <a:pt x="376897" y="556855"/>
                </a:cubicBezTo>
                <a:cubicBezTo>
                  <a:pt x="362610" y="559713"/>
                  <a:pt x="357252" y="550783"/>
                  <a:pt x="357252" y="543282"/>
                </a:cubicBezTo>
                <a:cubicBezTo>
                  <a:pt x="357252" y="533638"/>
                  <a:pt x="357609" y="502920"/>
                  <a:pt x="357609" y="464701"/>
                </a:cubicBezTo>
                <a:cubicBezTo>
                  <a:pt x="357609" y="437912"/>
                  <a:pt x="348680" y="420767"/>
                  <a:pt x="338321" y="411837"/>
                </a:cubicBezTo>
                <a:cubicBezTo>
                  <a:pt x="401900" y="404693"/>
                  <a:pt x="468695" y="380405"/>
                  <a:pt x="468695" y="270748"/>
                </a:cubicBezTo>
                <a:cubicBezTo>
                  <a:pt x="468695" y="239316"/>
                  <a:pt x="457622" y="213955"/>
                  <a:pt x="439405" y="193953"/>
                </a:cubicBezTo>
                <a:cubicBezTo>
                  <a:pt x="442262" y="186809"/>
                  <a:pt x="452264" y="157520"/>
                  <a:pt x="436548" y="118229"/>
                </a:cubicBezTo>
                <a:cubicBezTo>
                  <a:pt x="436548" y="118229"/>
                  <a:pt x="412616" y="110371"/>
                  <a:pt x="357967" y="147518"/>
                </a:cubicBezTo>
                <a:cubicBezTo>
                  <a:pt x="335106" y="141089"/>
                  <a:pt x="310817" y="137874"/>
                  <a:pt x="286529" y="137874"/>
                </a:cubicBezTo>
                <a:cubicBezTo>
                  <a:pt x="262240" y="137874"/>
                  <a:pt x="237951" y="141089"/>
                  <a:pt x="215092" y="147518"/>
                </a:cubicBezTo>
                <a:cubicBezTo>
                  <a:pt x="160441" y="110728"/>
                  <a:pt x="136510" y="118229"/>
                  <a:pt x="136510" y="118229"/>
                </a:cubicBezTo>
                <a:cubicBezTo>
                  <a:pt x="120793" y="157520"/>
                  <a:pt x="130795" y="186809"/>
                  <a:pt x="133652" y="193953"/>
                </a:cubicBezTo>
                <a:cubicBezTo>
                  <a:pt x="115436" y="213955"/>
                  <a:pt x="104363" y="239673"/>
                  <a:pt x="104363" y="270748"/>
                </a:cubicBezTo>
                <a:cubicBezTo>
                  <a:pt x="104363" y="380048"/>
                  <a:pt x="170800" y="404693"/>
                  <a:pt x="234380" y="411837"/>
                </a:cubicBezTo>
                <a:cubicBezTo>
                  <a:pt x="226164" y="418981"/>
                  <a:pt x="218663" y="431482"/>
                  <a:pt x="216163" y="450056"/>
                </a:cubicBezTo>
                <a:cubicBezTo>
                  <a:pt x="199732" y="457557"/>
                  <a:pt x="158655" y="469702"/>
                  <a:pt x="132938" y="426482"/>
                </a:cubicBezTo>
                <a:cubicBezTo>
                  <a:pt x="127581" y="417909"/>
                  <a:pt x="111507" y="396835"/>
                  <a:pt x="89004" y="397193"/>
                </a:cubicBezTo>
                <a:cubicBezTo>
                  <a:pt x="65073" y="397550"/>
                  <a:pt x="79360" y="410766"/>
                  <a:pt x="89361" y="416123"/>
                </a:cubicBezTo>
                <a:cubicBezTo>
                  <a:pt x="101505" y="422910"/>
                  <a:pt x="115436" y="448270"/>
                  <a:pt x="118651" y="456486"/>
                </a:cubicBezTo>
                <a:cubicBezTo>
                  <a:pt x="124365" y="472559"/>
                  <a:pt x="142939" y="503277"/>
                  <a:pt x="214734" y="490061"/>
                </a:cubicBezTo>
                <a:cubicBezTo>
                  <a:pt x="214734" y="513993"/>
                  <a:pt x="215092" y="536496"/>
                  <a:pt x="215092" y="543282"/>
                </a:cubicBezTo>
                <a:cubicBezTo>
                  <a:pt x="215092" y="550783"/>
                  <a:pt x="209734" y="559713"/>
                  <a:pt x="195446" y="556855"/>
                </a:cubicBezTo>
                <a:cubicBezTo>
                  <a:pt x="78723" y="518003"/>
                  <a:pt x="0" y="408769"/>
                  <a:pt x="64" y="285750"/>
                </a:cubicBezTo>
                <a:cubicBezTo>
                  <a:pt x="64" y="127873"/>
                  <a:pt x="127937" y="0"/>
                  <a:pt x="285814" y="0"/>
                </a:cubicBezTo>
                <a:close/>
              </a:path>
            </a:pathLst>
          </a:custGeom>
          <a:ln w="0" cap="flat">
            <a:miter lim="100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0"/>
  <sheetViews>
    <sheetView showGridLines="0" tabSelected="1" zoomScaleNormal="100" workbookViewId="0">
      <selection activeCell="I35" sqref="A1:I35"/>
    </sheetView>
  </sheetViews>
  <sheetFormatPr baseColWidth="10" defaultColWidth="8.6640625" defaultRowHeight="15" x14ac:dyDescent="0.2"/>
  <cols>
    <col min="1" max="1" width="3" customWidth="1"/>
    <col min="2" max="2" width="14" customWidth="1"/>
    <col min="3" max="7" width="16" customWidth="1"/>
    <col min="8" max="8" width="14" customWidth="1"/>
  </cols>
  <sheetData>
    <row r="1" spans="2:8" ht="6" customHeight="1" x14ac:dyDescent="0.2"/>
    <row r="2" spans="2:8" ht="7.5" customHeight="1" x14ac:dyDescent="0.2">
      <c r="C2" s="22"/>
      <c r="D2" s="22"/>
      <c r="E2" s="22"/>
      <c r="F2" s="22"/>
      <c r="G2" s="22"/>
      <c r="H2" s="22"/>
    </row>
    <row r="3" spans="2:8" ht="25" x14ac:dyDescent="0.25">
      <c r="B3" s="2"/>
    </row>
    <row r="5" spans="2:8" ht="23" x14ac:dyDescent="0.25">
      <c r="C5" s="3" t="s">
        <v>0</v>
      </c>
    </row>
    <row r="8" spans="2:8" x14ac:dyDescent="0.2">
      <c r="B8" s="4" t="s">
        <v>1</v>
      </c>
    </row>
    <row r="9" spans="2:8" x14ac:dyDescent="0.2">
      <c r="B9" s="5" t="s">
        <v>2</v>
      </c>
    </row>
    <row r="10" spans="2:8" x14ac:dyDescent="0.2">
      <c r="B10" s="6" t="s">
        <v>3</v>
      </c>
    </row>
    <row r="11" spans="2:8" x14ac:dyDescent="0.2">
      <c r="B11" s="6" t="s">
        <v>4</v>
      </c>
    </row>
    <row r="13" spans="2:8" x14ac:dyDescent="0.2">
      <c r="C13" s="4" t="s">
        <v>5</v>
      </c>
      <c r="F13" s="6" t="s">
        <v>6</v>
      </c>
      <c r="G13" s="4" t="str">
        <f ca="1">"INV" &amp; RANDBETWEEN(100000000, 999999999) &amp; "-" &amp; "1"</f>
        <v>INV172797474-1</v>
      </c>
    </row>
    <row r="14" spans="2:8" x14ac:dyDescent="0.2">
      <c r="C14" s="17" t="s">
        <v>26</v>
      </c>
      <c r="F14" s="6" t="s">
        <v>7</v>
      </c>
      <c r="G14" s="19" t="str">
        <f ca="1">TEXT(TODAY(),"mmm dd, yyyy")</f>
        <v>Sep 25, 2026</v>
      </c>
    </row>
    <row r="15" spans="2:8" x14ac:dyDescent="0.2">
      <c r="C15" s="17" t="s">
        <v>27</v>
      </c>
      <c r="F15" s="6" t="s">
        <v>8</v>
      </c>
      <c r="G15" s="4" t="s">
        <v>9</v>
      </c>
    </row>
    <row r="16" spans="2:8" x14ac:dyDescent="0.2">
      <c r="C16" s="18">
        <v>170709</v>
      </c>
      <c r="F16" s="6" t="s">
        <v>10</v>
      </c>
      <c r="G16" s="4" t="s">
        <v>11</v>
      </c>
    </row>
    <row r="17" spans="2:8" x14ac:dyDescent="0.2">
      <c r="C17" s="6"/>
    </row>
    <row r="18" spans="2:8" x14ac:dyDescent="0.2">
      <c r="C18" s="6"/>
    </row>
    <row r="19" spans="2:8" x14ac:dyDescent="0.2">
      <c r="C19" s="4"/>
    </row>
    <row r="21" spans="2:8" x14ac:dyDescent="0.2">
      <c r="B21" s="1" t="s">
        <v>12</v>
      </c>
      <c r="C21" s="23" t="s">
        <v>13</v>
      </c>
      <c r="D21" s="23"/>
      <c r="F21" s="1" t="s">
        <v>14</v>
      </c>
      <c r="G21" s="1" t="s">
        <v>15</v>
      </c>
    </row>
    <row r="22" spans="2:8" ht="27.75" customHeight="1" x14ac:dyDescent="0.2">
      <c r="B22" s="7">
        <v>1</v>
      </c>
      <c r="C22" s="24" t="s">
        <v>28</v>
      </c>
      <c r="D22" s="25"/>
      <c r="F22" s="8">
        <v>4</v>
      </c>
      <c r="G22" s="8">
        <f>F22*B22</f>
        <v>4</v>
      </c>
    </row>
    <row r="26" spans="2:8" x14ac:dyDescent="0.2">
      <c r="F26" s="9" t="s">
        <v>16</v>
      </c>
      <c r="G26" s="10">
        <f>G22</f>
        <v>4</v>
      </c>
    </row>
    <row r="27" spans="2:8" x14ac:dyDescent="0.2">
      <c r="B27" s="11" t="s">
        <v>17</v>
      </c>
      <c r="F27" s="9" t="s">
        <v>18</v>
      </c>
      <c r="G27" s="10">
        <v>0</v>
      </c>
    </row>
    <row r="28" spans="2:8" x14ac:dyDescent="0.2">
      <c r="B28" s="11" t="s">
        <v>19</v>
      </c>
      <c r="F28" s="1" t="s">
        <v>20</v>
      </c>
      <c r="G28" s="12">
        <f>G26+G27</f>
        <v>4</v>
      </c>
    </row>
    <row r="30" spans="2:8" x14ac:dyDescent="0.2">
      <c r="F30" s="4" t="s">
        <v>21</v>
      </c>
    </row>
    <row r="31" spans="2:8" x14ac:dyDescent="0.2">
      <c r="F31" s="17" t="str">
        <f ca="1">"P-" &amp; RANDBETWEEN(10000000, 99999999) &amp; "-" &amp; "1"</f>
        <v>P-64380952-1</v>
      </c>
      <c r="G31" s="20" t="str">
        <f ca="1">G14</f>
        <v>Sep 25, 2026</v>
      </c>
      <c r="H31" s="13">
        <f>-4</f>
        <v>-4</v>
      </c>
    </row>
    <row r="32" spans="2:8" x14ac:dyDescent="0.2">
      <c r="F32" s="14" t="s">
        <v>22</v>
      </c>
      <c r="G32" s="21"/>
      <c r="H32" s="15">
        <f>G28+H31</f>
        <v>0</v>
      </c>
    </row>
    <row r="33" spans="2:8" x14ac:dyDescent="0.2">
      <c r="B33" s="4" t="s">
        <v>23</v>
      </c>
    </row>
    <row r="34" spans="2:8" x14ac:dyDescent="0.2">
      <c r="F34" s="26" t="s">
        <v>24</v>
      </c>
      <c r="G34" s="26"/>
      <c r="H34" s="26"/>
    </row>
    <row r="40" spans="2:8" x14ac:dyDescent="0.2">
      <c r="H40" s="16" t="s">
        <v>25</v>
      </c>
    </row>
  </sheetData>
  <mergeCells count="4">
    <mergeCell ref="C2:H2"/>
    <mergeCell ref="C21:D21"/>
    <mergeCell ref="C22:D22"/>
    <mergeCell ref="F34:H34"/>
  </mergeCells>
  <pageMargins left="0.25" right="0.25" top="0.75" bottom="0.75" header="0.3" footer="0.3"/>
  <pageSetup paperSize="9" scale="83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CORAL NAVARRO MILTON RAFAEL</cp:lastModifiedBy>
  <cp:revision>0</cp:revision>
  <cp:lastPrinted>2026-09-25T15:18:19Z</cp:lastPrinted>
  <dcterms:created xsi:type="dcterms:W3CDTF">2026-08-28T19:22:43Z</dcterms:created>
  <dcterms:modified xsi:type="dcterms:W3CDTF">2026-09-25T17:36:32Z</dcterms:modified>
  <dc:language>en-US</dc:language>
</cp:coreProperties>
</file>